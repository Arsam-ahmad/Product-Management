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namalik/Downloads/"/>
    </mc:Choice>
  </mc:AlternateContent>
  <xr:revisionPtr revIDLastSave="0" documentId="13_ncr:1_{4E372C9D-52AB-6E47-B26A-9DE95E162D5C}" xr6:coauthVersionLast="47" xr6:coauthVersionMax="47" xr10:uidLastSave="{00000000-0000-0000-0000-000000000000}"/>
  <bookViews>
    <workbookView xWindow="0" yWindow="500" windowWidth="28800" windowHeight="15800" activeTab="1" xr2:uid="{57B0AD64-D03D-499D-921B-8F773AB1545F}"/>
  </bookViews>
  <sheets>
    <sheet name="Summary" sheetId="1" r:id="rId1"/>
    <sheet name="Details" sheetId="2" r:id="rId2"/>
    <sheet name="JazzCash Epic's" sheetId="3" r:id="rId3"/>
  </sheets>
  <definedNames>
    <definedName name="_xlnm._FilterDatabase" localSheetId="1" hidden="1">Details!$A$1:$J$24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C9" i="1"/>
</calcChain>
</file>

<file path=xl/sharedStrings.xml><?xml version="1.0" encoding="utf-8"?>
<sst xmlns="http://schemas.openxmlformats.org/spreadsheetml/2006/main" count="456" uniqueCount="325">
  <si>
    <t>C1</t>
  </si>
  <si>
    <t>C2</t>
  </si>
  <si>
    <t>C3</t>
  </si>
  <si>
    <t>C4</t>
  </si>
  <si>
    <t>Category Name</t>
  </si>
  <si>
    <t>C5</t>
  </si>
  <si>
    <t>Incomplete/Missinformation for the User</t>
  </si>
  <si>
    <t>App Performance</t>
  </si>
  <si>
    <t>C6</t>
  </si>
  <si>
    <t>Functionality/User Journey Broken</t>
  </si>
  <si>
    <t>Incomplete Error Mapping</t>
  </si>
  <si>
    <t>UI Improvements</t>
  </si>
  <si>
    <t>Business Agility</t>
  </si>
  <si>
    <t>Description</t>
  </si>
  <si>
    <t>Pending Priority</t>
  </si>
  <si>
    <t>Pending on Tech</t>
  </si>
  <si>
    <t>Total Use Cases</t>
  </si>
  <si>
    <t>Pending Requirement Clarification</t>
  </si>
  <si>
    <t>Epic</t>
  </si>
  <si>
    <t>Use Case</t>
  </si>
  <si>
    <t>Category</t>
  </si>
  <si>
    <t>Description of the problem</t>
  </si>
  <si>
    <t>Jira Story</t>
  </si>
  <si>
    <t>Status</t>
  </si>
  <si>
    <t>Status Details</t>
  </si>
  <si>
    <t>S#</t>
  </si>
  <si>
    <t>Severity</t>
  </si>
  <si>
    <t>Promotions</t>
  </si>
  <si>
    <t>Viewing a Promotion</t>
  </si>
  <si>
    <t>To-do</t>
  </si>
  <si>
    <t xml:space="preserve">S2 - User Impacted </t>
  </si>
  <si>
    <t xml:space="preserve">The expired promotions shows days as Negative </t>
  </si>
  <si>
    <t>Money Treansfer</t>
  </si>
  <si>
    <t>IBFT</t>
  </si>
  <si>
    <t xml:space="preserve">S2- User Impacted </t>
  </si>
  <si>
    <t>Viewing Promotions from Drawer</t>
  </si>
  <si>
    <t>The description of the promotions show in half of the screen</t>
  </si>
  <si>
    <t>Home Screen</t>
  </si>
  <si>
    <t>Home Screen Banner</t>
  </si>
  <si>
    <t>The promotion banner on the home screen is not changeable from the backoffice</t>
  </si>
  <si>
    <t xml:space="preserve">S3 - UI related </t>
  </si>
  <si>
    <t xml:space="preserve">S3- UI related </t>
  </si>
  <si>
    <t xml:space="preserve">Home screen banner redirection is hardcoded </t>
  </si>
  <si>
    <t>Guest Mode</t>
  </si>
  <si>
    <t>Partial Guest mode does not work properly</t>
  </si>
  <si>
    <t xml:space="preserve">Functional/User journey broken </t>
  </si>
  <si>
    <t>Many use cases in the app do not work on partial guest mode</t>
  </si>
  <si>
    <t>S1- Journey Broken</t>
  </si>
  <si>
    <t xml:space="preserve">QR Scan is slow due to extra irrelevant information to the user </t>
  </si>
  <si>
    <t>While scanning QR, we show the user previous scans that he/she has done, which are of no use to the user</t>
  </si>
  <si>
    <t>Jazz/OMNO bundles display takes time to load</t>
  </si>
  <si>
    <t>QR Scan</t>
  </si>
  <si>
    <t>Mobile Bundles</t>
  </si>
  <si>
    <t>Transaction History</t>
  </si>
  <si>
    <t>Haphazard behavior of transaction history</t>
  </si>
  <si>
    <t>Transaction history take time to load</t>
  </si>
  <si>
    <t>History does not appear randomly</t>
  </si>
  <si>
    <t>Missing Transaction hisotry</t>
  </si>
  <si>
    <t>Multipayment</t>
  </si>
  <si>
    <t>Deposit via other debit card broken journey</t>
  </si>
  <si>
    <t>Deposit via other debit card journey is beoken</t>
  </si>
  <si>
    <t>Other Payment</t>
  </si>
  <si>
    <t>Multiple screens missing heading and Sub heading</t>
  </si>
  <si>
    <t>Multiple screens on the app are missing headings and sub headings</t>
  </si>
  <si>
    <t xml:space="preserve">User logs out when native back is pressed on the phone </t>
  </si>
  <si>
    <t>Invite and Earn</t>
  </si>
  <si>
    <t>Invitee list does not gets updated</t>
  </si>
  <si>
    <t>Invitee list on invite and Earn does not gets updated</t>
  </si>
  <si>
    <t>Deposit via Debit Card</t>
  </si>
  <si>
    <t xml:space="preserve">OCR scanning has multiple issues </t>
  </si>
  <si>
    <t xml:space="preserve">Share option does not work </t>
  </si>
  <si>
    <t>OCR behavior is inconsistent in the app</t>
  </si>
  <si>
    <t>Share option in the promotions screen does not work</t>
  </si>
  <si>
    <t>Notifications</t>
  </si>
  <si>
    <t>Notifications do not change the state to "read"</t>
  </si>
  <si>
    <t>Once a notifications is opened, it does not change the status</t>
  </si>
  <si>
    <t>Request Money</t>
  </si>
  <si>
    <t>Request Money attahment does not show on the app</t>
  </si>
  <si>
    <t>The attachment in request money does not show to the user</t>
  </si>
  <si>
    <t>Toast UI of notification is not as per Design system</t>
  </si>
  <si>
    <t>Receipts</t>
  </si>
  <si>
    <t>Incorrect Information on multiple receipts</t>
  </si>
  <si>
    <t>Bank list takes time to load in the app</t>
  </si>
  <si>
    <t>JCP-1062</t>
  </si>
  <si>
    <t>JCP-1063</t>
  </si>
  <si>
    <t>JCP-1064</t>
  </si>
  <si>
    <t>JCP-1065</t>
  </si>
  <si>
    <t>JCP-1066</t>
  </si>
  <si>
    <t>JCP-1067</t>
  </si>
  <si>
    <t>JCP-1068</t>
  </si>
  <si>
    <t>JCP-1069</t>
  </si>
  <si>
    <t>JCP-1070</t>
  </si>
  <si>
    <t>JCP-1071</t>
  </si>
  <si>
    <t>JCP-1072</t>
  </si>
  <si>
    <t>JCP-1073</t>
  </si>
  <si>
    <t>JCP-1074</t>
  </si>
  <si>
    <t>JCP-1075</t>
  </si>
  <si>
    <t>JCP-1076</t>
  </si>
  <si>
    <t>JCP-1077</t>
  </si>
  <si>
    <t>JCP-1078</t>
  </si>
  <si>
    <t>JCP-1079</t>
  </si>
  <si>
    <t>JCP-1080</t>
  </si>
  <si>
    <t>JCP-1082</t>
  </si>
  <si>
    <t xml:space="preserve">Epic </t>
  </si>
  <si>
    <t xml:space="preserve">Registration </t>
  </si>
  <si>
    <t xml:space="preserve">Create a new JazzCash account </t>
  </si>
  <si>
    <t xml:space="preserve">Guest Mode </t>
  </si>
  <si>
    <t xml:space="preserve">Pure Guest Mode </t>
  </si>
  <si>
    <t xml:space="preserve">Partial Guest Mode </t>
  </si>
  <si>
    <t xml:space="preserve">Login </t>
  </si>
  <si>
    <t>Login Customer</t>
  </si>
  <si>
    <t xml:space="preserve">Biometric Login </t>
  </si>
  <si>
    <t>Login Via Fingerprint</t>
  </si>
  <si>
    <t xml:space="preserve">Home Screen Coach Marks </t>
  </si>
  <si>
    <t>Onboarding Tutorials</t>
  </si>
  <si>
    <t>Forgot MPIN</t>
  </si>
  <si>
    <t>Create MPIN</t>
  </si>
  <si>
    <t xml:space="preserve">Balance Refresh </t>
  </si>
  <si>
    <t>Balance Load &amp; Refresh</t>
  </si>
  <si>
    <t>Profile Picture</t>
  </si>
  <si>
    <t>Update Profile Picture</t>
  </si>
  <si>
    <t>Remove Profile Picture</t>
  </si>
  <si>
    <t xml:space="preserve">Manage Email </t>
  </si>
  <si>
    <t>Add Email</t>
  </si>
  <si>
    <t>Manage MPIN</t>
  </si>
  <si>
    <t>Edit and Change MPIN</t>
  </si>
  <si>
    <t>CNIC Expiry</t>
  </si>
  <si>
    <t xml:space="preserve">User CNIC Expiry </t>
  </si>
  <si>
    <t xml:space="preserve">Profile Name </t>
  </si>
  <si>
    <t xml:space="preserve">Manage Profile Name </t>
  </si>
  <si>
    <t>Add Money Debit Card</t>
  </si>
  <si>
    <t>Deposit via debit Card</t>
  </si>
  <si>
    <t>Add Request Money</t>
  </si>
  <si>
    <t xml:space="preserve">Ready Cash </t>
  </si>
  <si>
    <t>Repay ReadyCash</t>
  </si>
  <si>
    <t xml:space="preserve">Add money via ReadyCash </t>
  </si>
  <si>
    <t>Add Money Via Bank</t>
  </si>
  <si>
    <t>Deposit Money Via Bank Account - Tutorial</t>
  </si>
  <si>
    <t xml:space="preserve">Jazz Cash Agent </t>
  </si>
  <si>
    <t xml:space="preserve">Locate and add money via Agent </t>
  </si>
  <si>
    <t>Account Upgrade</t>
  </si>
  <si>
    <t>Upgrade account via nearby Agent</t>
  </si>
  <si>
    <t xml:space="preserve">Transaction History </t>
  </si>
  <si>
    <t>Transaction History Review</t>
  </si>
  <si>
    <t xml:space="preserve">Sent Transactions </t>
  </si>
  <si>
    <t xml:space="preserve">Received Transaction </t>
  </si>
  <si>
    <t xml:space="preserve">Account Limit </t>
  </si>
  <si>
    <t>Daily Limits Updates</t>
  </si>
  <si>
    <t>Monthly Limits Updates</t>
  </si>
  <si>
    <t>Yearly Limits Updates</t>
  </si>
  <si>
    <t xml:space="preserve">Account Statement </t>
  </si>
  <si>
    <t>Last Financial Year</t>
  </si>
  <si>
    <t>Date Picker</t>
  </si>
  <si>
    <t>Last Month</t>
  </si>
  <si>
    <t>Financial year to date</t>
  </si>
  <si>
    <t xml:space="preserve">Email PDF </t>
  </si>
  <si>
    <t xml:space="preserve">My Approval </t>
  </si>
  <si>
    <t xml:space="preserve">Pending approval </t>
  </si>
  <si>
    <t xml:space="preserve">History </t>
  </si>
  <si>
    <t xml:space="preserve">Minor Account </t>
  </si>
  <si>
    <t xml:space="preserve">Create new Minor Account </t>
  </si>
  <si>
    <t>Terms and conditions</t>
  </si>
  <si>
    <t xml:space="preserve">Redeem Rewards </t>
  </si>
  <si>
    <t>Redeem Cashback Reward</t>
  </si>
  <si>
    <t>Cards and Link Accounts</t>
  </si>
  <si>
    <t>Jazz Cash Debit Card</t>
  </si>
  <si>
    <t xml:space="preserve">Linked Cards and other Bank Accounts </t>
  </si>
  <si>
    <t xml:space="preserve">Biometric Permission </t>
  </si>
  <si>
    <t xml:space="preserve">Enable Biometric </t>
  </si>
  <si>
    <t xml:space="preserve">Jazz Cash Keyboard </t>
  </si>
  <si>
    <t>Prepaid Load</t>
  </si>
  <si>
    <t xml:space="preserve">Transfer to Bank </t>
  </si>
  <si>
    <t xml:space="preserve">Transfer to Jazz Cash </t>
  </si>
  <si>
    <t xml:space="preserve">All Jazz Cash Services </t>
  </si>
  <si>
    <t xml:space="preserve">Jazz Cash Transfer </t>
  </si>
  <si>
    <t>Customer to Customer</t>
  </si>
  <si>
    <t xml:space="preserve">Transfer to non-jazz Cash </t>
  </si>
  <si>
    <t xml:space="preserve">Bank Transfer </t>
  </si>
  <si>
    <t xml:space="preserve">CNIC Transfer </t>
  </si>
  <si>
    <t xml:space="preserve">Send money to CNIC </t>
  </si>
  <si>
    <t>Other Wallet Transfer</t>
  </si>
  <si>
    <t>Easypaisa</t>
  </si>
  <si>
    <t>Upaisa</t>
  </si>
  <si>
    <t>Konnect</t>
  </si>
  <si>
    <t>Payoneer</t>
  </si>
  <si>
    <t xml:space="preserve">Transfer Fund </t>
  </si>
  <si>
    <t xml:space="preserve">Link / D-Link account </t>
  </si>
  <si>
    <t>Create a Payoneer Account</t>
  </si>
  <si>
    <t>Raast</t>
  </si>
  <si>
    <t>Send Money to IBAN</t>
  </si>
  <si>
    <t>Send Money to Raast ID</t>
  </si>
  <si>
    <t xml:space="preserve">Money Transfer </t>
  </si>
  <si>
    <t xml:space="preserve">Add beneficiary </t>
  </si>
  <si>
    <t xml:space="preserve">Utility Bills </t>
  </si>
  <si>
    <t>My Favorites</t>
  </si>
  <si>
    <t>Electricity</t>
  </si>
  <si>
    <t>Gas</t>
  </si>
  <si>
    <t>Water</t>
  </si>
  <si>
    <t>Internet</t>
  </si>
  <si>
    <t>Telephone</t>
  </si>
  <si>
    <t xml:space="preserve">Prepaid Load </t>
  </si>
  <si>
    <t xml:space="preserve">Jazz Load </t>
  </si>
  <si>
    <t xml:space="preserve">Ufone Load </t>
  </si>
  <si>
    <t xml:space="preserve">Zong Load </t>
  </si>
  <si>
    <t xml:space="preserve">Telenor Load </t>
  </si>
  <si>
    <t xml:space="preserve">Post Paid Load </t>
  </si>
  <si>
    <t xml:space="preserve">Mobile Packages </t>
  </si>
  <si>
    <t>Jazz Packages</t>
  </si>
  <si>
    <t>Ufone Packages</t>
  </si>
  <si>
    <t>Zong Packages</t>
  </si>
  <si>
    <t>Telenor Packages</t>
  </si>
  <si>
    <t>Mutual Funds</t>
  </si>
  <si>
    <t>Account Mutual Funds</t>
  </si>
  <si>
    <t xml:space="preserve">Credit Card Payment </t>
  </si>
  <si>
    <t>All payments via Credit cards</t>
  </si>
  <si>
    <t xml:space="preserve">Health Insurance </t>
  </si>
  <si>
    <t xml:space="preserve">Subscription of the plans </t>
  </si>
  <si>
    <t xml:space="preserve">Life Insurance </t>
  </si>
  <si>
    <t>Order a New debit Card</t>
  </si>
  <si>
    <t>Make a Transaction via Card</t>
  </si>
  <si>
    <t>Card Management</t>
  </si>
  <si>
    <t>Order a Paypak Card</t>
  </si>
  <si>
    <t>Virtual Card</t>
  </si>
  <si>
    <t>Play &amp; Win</t>
  </si>
  <si>
    <t>Play games and win rewards</t>
  </si>
  <si>
    <t>Invite Friends</t>
  </si>
  <si>
    <t>Track Invitees</t>
  </si>
  <si>
    <t>M-Tag</t>
  </si>
  <si>
    <t>Topup on M-tag</t>
  </si>
  <si>
    <t xml:space="preserve">Bus Tickets </t>
  </si>
  <si>
    <t xml:space="preserve">Purchase bus tickets </t>
  </si>
  <si>
    <t xml:space="preserve">Education </t>
  </si>
  <si>
    <t>School fees</t>
  </si>
  <si>
    <t>College Fee</t>
  </si>
  <si>
    <t xml:space="preserve">Coaching Centers </t>
  </si>
  <si>
    <t>Universities Fee</t>
  </si>
  <si>
    <t>Entry Test Fee</t>
  </si>
  <si>
    <t xml:space="preserve">Daraz Wallet </t>
  </si>
  <si>
    <t xml:space="preserve">Top-up Daraz Wallet via jazz cash </t>
  </si>
  <si>
    <t>E-vouchers</t>
  </si>
  <si>
    <t>Buy E-Vouchers</t>
  </si>
  <si>
    <t>Government Payments</t>
  </si>
  <si>
    <t xml:space="preserve">Pay Government Payments </t>
  </si>
  <si>
    <t xml:space="preserve">Traffic Challan </t>
  </si>
  <si>
    <t xml:space="preserve">Punjab Traffic Challan </t>
  </si>
  <si>
    <t xml:space="preserve">Islamabad Traffic Challan </t>
  </si>
  <si>
    <t xml:space="preserve">Online Vouchers </t>
  </si>
  <si>
    <t>Pay Online Via JazzCash</t>
  </si>
  <si>
    <t xml:space="preserve">Loan Repayment </t>
  </si>
  <si>
    <t>Repay Government Loans</t>
  </si>
  <si>
    <t xml:space="preserve">Donations </t>
  </si>
  <si>
    <t xml:space="preserve">Donate via Jazz Cash </t>
  </si>
  <si>
    <t>Nadra</t>
  </si>
  <si>
    <t xml:space="preserve">Covid Payment </t>
  </si>
  <si>
    <t>Corporate Payments</t>
  </si>
  <si>
    <t xml:space="preserve">Corporate Companies Bills </t>
  </si>
  <si>
    <t xml:space="preserve">AlaCart Shopping </t>
  </si>
  <si>
    <t xml:space="preserve">Buy Products </t>
  </si>
  <si>
    <t xml:space="preserve">Pompak </t>
  </si>
  <si>
    <t xml:space="preserve">Financial Literacy </t>
  </si>
  <si>
    <t xml:space="preserve">Locators </t>
  </si>
  <si>
    <t xml:space="preserve">Search Agent locators / Maps </t>
  </si>
  <si>
    <t>Scan QR</t>
  </si>
  <si>
    <t>pay Bill via Scan QR</t>
  </si>
  <si>
    <t xml:space="preserve">Pay Bill via Till ID </t>
  </si>
  <si>
    <t xml:space="preserve">Search </t>
  </si>
  <si>
    <t xml:space="preserve">App Features Search </t>
  </si>
  <si>
    <t xml:space="preserve">Promotion </t>
  </si>
  <si>
    <t xml:space="preserve">Promotion Banners </t>
  </si>
  <si>
    <t>International Payment Request</t>
  </si>
  <si>
    <t xml:space="preserve">International Payment via Payer </t>
  </si>
  <si>
    <t xml:space="preserve">Receipts </t>
  </si>
  <si>
    <t xml:space="preserve">Transactions Receipts </t>
  </si>
  <si>
    <t xml:space="preserve">Notifications </t>
  </si>
  <si>
    <t xml:space="preserve">All Notifications </t>
  </si>
  <si>
    <t xml:space="preserve">Edit Home Screen </t>
  </si>
  <si>
    <t xml:space="preserve">Edit Preferences </t>
  </si>
  <si>
    <t>Top Picksw</t>
  </si>
  <si>
    <t xml:space="preserve">Home Screen Top picks for user </t>
  </si>
  <si>
    <t>Latest Updates</t>
  </si>
  <si>
    <t xml:space="preserve">Home Screen Banners For Updates </t>
  </si>
  <si>
    <t xml:space="preserve">Logout </t>
  </si>
  <si>
    <t xml:space="preserve">App Logout </t>
  </si>
  <si>
    <t xml:space="preserve">App Version Details </t>
  </si>
  <si>
    <t xml:space="preserve">Jazz Cash App Version Details </t>
  </si>
  <si>
    <t xml:space="preserve">App Permissions </t>
  </si>
  <si>
    <t xml:space="preserve">Permission to access the device details/features </t>
  </si>
  <si>
    <t xml:space="preserve">Maps </t>
  </si>
  <si>
    <t xml:space="preserve">Address Update </t>
  </si>
  <si>
    <t xml:space="preserve">Locations / Agents </t>
  </si>
  <si>
    <t>Jazz Cash Consumer App</t>
  </si>
  <si>
    <t>User Stories</t>
  </si>
  <si>
    <t>Repayment on recent QR scanned</t>
  </si>
  <si>
    <t>Multiple Invites failure</t>
  </si>
  <si>
    <t>Multple invite send failure</t>
  </si>
  <si>
    <t>repayment on previously scanned QR failure.</t>
  </si>
  <si>
    <t>JCP-1115</t>
  </si>
  <si>
    <t>JCP-1116</t>
  </si>
  <si>
    <t>Incomplete error mapping</t>
  </si>
  <si>
    <t>Use case wise FE msg fixing</t>
  </si>
  <si>
    <t>Error Mapping</t>
  </si>
  <si>
    <t>Use case wise FE msgs fix</t>
  </si>
  <si>
    <t>JCP-1117</t>
  </si>
  <si>
    <t>Broken Use Case or functionality error</t>
  </si>
  <si>
    <t>User Interface Improvements of Consumer App</t>
  </si>
  <si>
    <t>Enhancements that require continuous, and systematic evolutionary adaptation for gaining and maintaining competitive advantage.</t>
  </si>
  <si>
    <t>Consumer App performance on a mobile device under various loads and circumstances</t>
  </si>
  <si>
    <t>Sprint 1.9</t>
  </si>
  <si>
    <t>Bundles loader/search issue</t>
  </si>
  <si>
    <t>Sprint 1.8</t>
  </si>
  <si>
    <t>Spint 2.0</t>
  </si>
  <si>
    <t xml:space="preserve">Discussion planned with Business </t>
  </si>
  <si>
    <t>Internal Tech discussion in progress</t>
  </si>
  <si>
    <t>R&amp;D session planned</t>
  </si>
  <si>
    <t>Misinformation leading to User experience impact</t>
  </si>
  <si>
    <t>Backend error code mapping againt every inctance of a use case in  Consumer app</t>
  </si>
  <si>
    <t>Total</t>
  </si>
  <si>
    <t>Grand Total</t>
  </si>
  <si>
    <t>Progress status</t>
  </si>
  <si>
    <t>Included in Sprint 2.0</t>
  </si>
  <si>
    <t>Included in Sprint 1.8</t>
  </si>
  <si>
    <t>Included Sprint 1.9</t>
  </si>
  <si>
    <t>Insufficent balance in QR</t>
  </si>
  <si>
    <t>Sender bank title fetch sende szero hence the reciver account reciveing limit can not check.</t>
  </si>
  <si>
    <t>topup - and if the customer is on data , balance goes down nd the bundle sub fails.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</si>
</sst>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Fill="1" applyBorder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6" borderId="0" xfId="0" applyFill="1"/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Summary!$C$2</c:f>
              <c:strCache>
                <c:ptCount val="1"/>
                <c:pt idx="0">
                  <c:v>Total Use Cases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2C-1A48-8A1A-73DE0B5A24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C-1A48-8A1A-73DE0B5A24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2C-1A48-8A1A-73DE0B5A24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2C-1A48-8A1A-73DE0B5A24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2C-1A48-8A1A-73DE0B5A24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2C-1A48-8A1A-73DE0B5A24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E2C-1A48-8A1A-73DE0B5A244E}"/>
              </c:ext>
            </c:extLst>
          </c:dPt>
          <c:cat>
            <c:strRef>
              <c:f>Summary!$B$3:$B$9</c:f>
              <c:strCache>
                <c:ptCount val="6"/>
                <c:pt idx="0">
                  <c:v>Functionality/User Journey Broken</c:v>
                </c:pt>
                <c:pt idx="1">
                  <c:v>Incomplete/Missinformation for the User</c:v>
                </c:pt>
                <c:pt idx="2">
                  <c:v>Incomplete Error Mapping</c:v>
                </c:pt>
                <c:pt idx="3">
                  <c:v>UI Improvements</c:v>
                </c:pt>
                <c:pt idx="4">
                  <c:v>Business Agility</c:v>
                </c:pt>
                <c:pt idx="5">
                  <c:v>App Performance</c:v>
                </c:pt>
              </c:strCache>
            </c:strRef>
          </c:cat>
          <c:val>
            <c:numRef>
              <c:f>Summary!$C$3:$C$9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7</c:v>
                </c:pt>
                <c:pt idx="5">
                  <c:v>9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8-2644-AC4B-830C7B684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232834</xdr:colOff>
      <xdr:row>13</xdr:row>
      <xdr:rowOff>41275</xdr:rowOff>
    </xdr:from>
    <xdr:to>
      <xdr:col>14</xdr:col>
      <xdr:colOff>63501</xdr:colOff>
      <xdr:row>27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69F92-A7CB-554B-9429-952EC0560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4F02-DC77-439F-9F09-849A2A3C91A1}">
  <dimension ref="A2:G20"/>
  <sheetViews>
    <sheetView zoomScale="120" zoomScaleNormal="120" workbookViewId="0">
      <selection activeCell="D15" sqref="D15"/>
    </sheetView>
  </sheetViews>
  <sheetFormatPr baseColWidth="10" defaultColWidth="8.83203125" defaultRowHeight="15" x14ac:dyDescent="0.2"/>
  <cols>
    <col min="1" max="1" width="2.83203125" bestFit="1" customWidth="1"/>
    <col min="2" max="2" width="28.1640625" bestFit="1" customWidth="1"/>
    <col min="3" max="3" width="14.1640625" style="17" customWidth="1"/>
    <col min="4" max="4" width="16.33203125" style="17" customWidth="1"/>
    <col min="5" max="5" width="13.83203125" style="17" customWidth="1"/>
    <col min="6" max="6" width="13.5" style="17" customWidth="1"/>
  </cols>
  <sheetData>
    <row r="2" spans="1:7" s="21" customFormat="1" ht="29" customHeight="1" x14ac:dyDescent="0.2">
      <c r="A2" s="18"/>
      <c r="B2" s="19" t="s">
        <v>4</v>
      </c>
      <c r="C2" s="20" t="s">
        <v>16</v>
      </c>
      <c r="D2" s="22" t="s">
        <v>17</v>
      </c>
      <c r="E2" s="20" t="s">
        <v>15</v>
      </c>
      <c r="F2" s="20" t="s">
        <v>14</v>
      </c>
      <c r="G2" s="19" t="s">
        <v>13</v>
      </c>
    </row>
    <row r="3" spans="1:7" x14ac:dyDescent="0.2">
      <c r="A3" s="1" t="s">
        <v>0</v>
      </c>
      <c r="B3" s="1" t="s">
        <v>9</v>
      </c>
      <c r="C3" s="16">
        <v>4</v>
      </c>
      <c r="D3" s="16">
        <v>4</v>
      </c>
      <c r="E3" s="16"/>
      <c r="F3" s="16"/>
      <c r="G3" s="1" t="s">
        <v>303</v>
      </c>
    </row>
    <row r="4" spans="1:7" x14ac:dyDescent="0.2">
      <c r="A4" s="1" t="s">
        <v>1</v>
      </c>
      <c r="B4" s="1" t="s">
        <v>6</v>
      </c>
      <c r="C4" s="16">
        <v>1</v>
      </c>
      <c r="D4" s="16"/>
      <c r="E4" s="16"/>
      <c r="F4" s="16">
        <v>1</v>
      </c>
      <c r="G4" s="1" t="s">
        <v>314</v>
      </c>
    </row>
    <row r="5" spans="1:7" x14ac:dyDescent="0.2">
      <c r="A5" s="1" t="s">
        <v>2</v>
      </c>
      <c r="B5" s="1" t="s">
        <v>10</v>
      </c>
      <c r="C5" s="16">
        <v>1</v>
      </c>
      <c r="D5" s="16"/>
      <c r="E5" s="16">
        <v>13</v>
      </c>
      <c r="F5" s="16"/>
      <c r="G5" s="1" t="s">
        <v>315</v>
      </c>
    </row>
    <row r="6" spans="1:7" x14ac:dyDescent="0.2">
      <c r="A6" s="1" t="s">
        <v>3</v>
      </c>
      <c r="B6" s="1" t="s">
        <v>11</v>
      </c>
      <c r="C6" s="16">
        <v>1</v>
      </c>
      <c r="D6" s="16"/>
      <c r="E6" s="16"/>
      <c r="F6" s="16">
        <v>2</v>
      </c>
      <c r="G6" s="1" t="s">
        <v>304</v>
      </c>
    </row>
    <row r="7" spans="1:7" x14ac:dyDescent="0.2">
      <c r="A7" s="1" t="s">
        <v>5</v>
      </c>
      <c r="B7" s="1" t="s">
        <v>12</v>
      </c>
      <c r="C7" s="16">
        <v>7</v>
      </c>
      <c r="D7" s="16">
        <v>1</v>
      </c>
      <c r="E7" s="16"/>
      <c r="F7" s="16">
        <v>6</v>
      </c>
      <c r="G7" s="1" t="s">
        <v>305</v>
      </c>
    </row>
    <row r="8" spans="1:7" x14ac:dyDescent="0.2">
      <c r="A8" s="2" t="s">
        <v>8</v>
      </c>
      <c r="B8" s="2" t="s">
        <v>7</v>
      </c>
      <c r="C8" s="16">
        <v>9</v>
      </c>
      <c r="D8" s="16"/>
      <c r="E8" s="16">
        <v>5</v>
      </c>
      <c r="F8" s="16">
        <v>4</v>
      </c>
      <c r="G8" s="1" t="s">
        <v>306</v>
      </c>
    </row>
    <row r="9" spans="1:7" x14ac:dyDescent="0.2">
      <c r="A9" s="1"/>
      <c r="B9" s="1"/>
      <c r="C9" s="16">
        <f>SUM(C3:C8)</f>
        <v>23</v>
      </c>
      <c r="D9" s="16">
        <f t="shared" ref="D9:F9" si="0">SUM(D3:D8)</f>
        <v>5</v>
      </c>
      <c r="E9" s="16">
        <f t="shared" si="0"/>
        <v>18</v>
      </c>
      <c r="F9" s="16">
        <f t="shared" si="0"/>
        <v>13</v>
      </c>
      <c r="G9" s="2" t="s">
        <v>316</v>
      </c>
    </row>
    <row r="13" spans="1:7" x14ac:dyDescent="0.2">
      <c r="B13" s="25" t="s">
        <v>318</v>
      </c>
      <c r="C13" s="25" t="s">
        <v>19</v>
      </c>
    </row>
    <row r="14" spans="1:7" x14ac:dyDescent="0.2">
      <c r="B14" t="s">
        <v>319</v>
      </c>
      <c r="C14">
        <v>3</v>
      </c>
    </row>
    <row r="15" spans="1:7" x14ac:dyDescent="0.2">
      <c r="B15" t="s">
        <v>320</v>
      </c>
      <c r="C15">
        <v>1</v>
      </c>
    </row>
    <row r="16" spans="1:7" x14ac:dyDescent="0.2">
      <c r="B16" t="s">
        <v>321</v>
      </c>
      <c r="C16">
        <v>5</v>
      </c>
    </row>
    <row r="17" spans="2:3" x14ac:dyDescent="0.2">
      <c r="B17" t="s">
        <v>311</v>
      </c>
      <c r="C17">
        <v>7</v>
      </c>
    </row>
    <row r="18" spans="2:3" x14ac:dyDescent="0.2">
      <c r="B18" t="s">
        <v>312</v>
      </c>
      <c r="C18">
        <v>6</v>
      </c>
    </row>
    <row r="19" spans="2:3" x14ac:dyDescent="0.2">
      <c r="B19" t="s">
        <v>313</v>
      </c>
      <c r="C19">
        <v>1</v>
      </c>
    </row>
    <row r="20" spans="2:3" x14ac:dyDescent="0.2">
      <c r="B20" s="25" t="s">
        <v>317</v>
      </c>
      <c r="C20" s="25">
        <v>23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FEA2-3C34-4573-8192-69991F877AB5}">
  <dimension ref="A1:J27"/>
  <sheetViews>
    <sheetView tabSelected="1" topLeftCell="A11" zoomScale="110" zoomScaleNormal="110" workbookViewId="0">
      <selection activeCell="C28" sqref="C28"/>
    </sheetView>
  </sheetViews>
  <sheetFormatPr baseColWidth="10" defaultColWidth="8.83203125" defaultRowHeight="15" outlineLevelRow="1" x14ac:dyDescent="0.2"/>
  <cols>
    <col min="1" max="1" width="3.83203125" style="5" customWidth="1"/>
    <col min="2" max="2" width="19.1640625" style="5" bestFit="1" customWidth="1"/>
    <col min="3" max="3" width="34" style="8" customWidth="1"/>
    <col min="4" max="4" width="26.1640625" style="8" customWidth="1"/>
    <col min="5" max="5" width="41.1640625" style="8" customWidth="1"/>
    <col min="6" max="6" width="10.6640625" style="5" customWidth="1"/>
    <col min="7" max="7" width="8.5" style="5" customWidth="1"/>
    <col min="8" max="8" width="19.1640625" style="5" customWidth="1"/>
    <col min="9" max="9" width="18.5" style="5" customWidth="1"/>
    <col min="10" max="10" width="35.6640625" style="5" bestFit="1" customWidth="1"/>
    <col min="11" max="16384" width="8.83203125" style="5"/>
  </cols>
  <sheetData>
    <row r="1" spans="1:10" ht="16" x14ac:dyDescent="0.2">
      <c r="A1" s="3" t="s">
        <v>25</v>
      </c>
      <c r="B1" s="3" t="s">
        <v>18</v>
      </c>
      <c r="C1" s="4" t="s">
        <v>19</v>
      </c>
      <c r="D1" s="4" t="s">
        <v>20</v>
      </c>
      <c r="E1" s="4" t="s">
        <v>21</v>
      </c>
      <c r="F1" s="3" t="s">
        <v>22</v>
      </c>
      <c r="G1" s="3" t="s">
        <v>23</v>
      </c>
      <c r="H1" s="3" t="s">
        <v>24</v>
      </c>
      <c r="I1" s="3" t="s">
        <v>26</v>
      </c>
      <c r="J1" s="3" t="s">
        <v>318</v>
      </c>
    </row>
    <row r="2" spans="1:10" ht="32" x14ac:dyDescent="0.2">
      <c r="A2" s="6">
        <v>1</v>
      </c>
      <c r="B2" s="6" t="s">
        <v>27</v>
      </c>
      <c r="C2" s="7" t="s">
        <v>28</v>
      </c>
      <c r="D2" s="7" t="s">
        <v>6</v>
      </c>
      <c r="E2" s="7" t="s">
        <v>31</v>
      </c>
      <c r="F2" s="6" t="s">
        <v>83</v>
      </c>
      <c r="G2" s="6" t="s">
        <v>29</v>
      </c>
      <c r="H2" s="6" t="s">
        <v>14</v>
      </c>
      <c r="I2" s="6" t="s">
        <v>30</v>
      </c>
      <c r="J2" s="6" t="s">
        <v>307</v>
      </c>
    </row>
    <row r="3" spans="1:10" ht="16" x14ac:dyDescent="0.2">
      <c r="A3" s="6">
        <v>2</v>
      </c>
      <c r="B3" s="6" t="s">
        <v>32</v>
      </c>
      <c r="C3" s="7" t="s">
        <v>33</v>
      </c>
      <c r="D3" s="7" t="s">
        <v>7</v>
      </c>
      <c r="E3" s="7" t="s">
        <v>82</v>
      </c>
      <c r="F3" s="6" t="s">
        <v>84</v>
      </c>
      <c r="G3" s="6" t="s">
        <v>29</v>
      </c>
      <c r="H3" s="6" t="s">
        <v>15</v>
      </c>
      <c r="I3" s="6" t="s">
        <v>34</v>
      </c>
      <c r="J3" s="6" t="s">
        <v>307</v>
      </c>
    </row>
    <row r="4" spans="1:10" ht="32" x14ac:dyDescent="0.2">
      <c r="A4" s="6">
        <v>3</v>
      </c>
      <c r="B4" s="6" t="s">
        <v>27</v>
      </c>
      <c r="C4" s="7" t="s">
        <v>35</v>
      </c>
      <c r="D4" s="7" t="s">
        <v>11</v>
      </c>
      <c r="E4" s="7" t="s">
        <v>36</v>
      </c>
      <c r="F4" s="6" t="s">
        <v>85</v>
      </c>
      <c r="G4" s="6" t="s">
        <v>29</v>
      </c>
      <c r="H4" s="6" t="s">
        <v>14</v>
      </c>
      <c r="I4" s="6" t="s">
        <v>41</v>
      </c>
      <c r="J4" s="6" t="s">
        <v>307</v>
      </c>
    </row>
    <row r="5" spans="1:10" ht="32" x14ac:dyDescent="0.2">
      <c r="A5" s="6">
        <v>4</v>
      </c>
      <c r="B5" s="6" t="s">
        <v>37</v>
      </c>
      <c r="C5" s="7" t="s">
        <v>38</v>
      </c>
      <c r="D5" s="7" t="s">
        <v>12</v>
      </c>
      <c r="E5" s="7" t="s">
        <v>39</v>
      </c>
      <c r="F5" s="6" t="s">
        <v>86</v>
      </c>
      <c r="G5" s="6" t="s">
        <v>29</v>
      </c>
      <c r="H5" s="6" t="s">
        <v>14</v>
      </c>
      <c r="I5" s="6" t="s">
        <v>40</v>
      </c>
      <c r="J5" s="23" t="s">
        <v>311</v>
      </c>
    </row>
    <row r="6" spans="1:10" ht="16" x14ac:dyDescent="0.2">
      <c r="A6" s="6">
        <v>5</v>
      </c>
      <c r="B6" s="6" t="s">
        <v>37</v>
      </c>
      <c r="C6" s="7" t="s">
        <v>38</v>
      </c>
      <c r="D6" s="7" t="s">
        <v>12</v>
      </c>
      <c r="E6" s="7" t="s">
        <v>42</v>
      </c>
      <c r="F6" s="6" t="s">
        <v>87</v>
      </c>
      <c r="G6" s="6" t="s">
        <v>29</v>
      </c>
      <c r="H6" s="6" t="s">
        <v>14</v>
      </c>
      <c r="I6" s="6" t="s">
        <v>40</v>
      </c>
      <c r="J6" s="23" t="s">
        <v>311</v>
      </c>
    </row>
    <row r="7" spans="1:10" ht="32" x14ac:dyDescent="0.2">
      <c r="A7" s="6">
        <v>6</v>
      </c>
      <c r="B7" s="6" t="s">
        <v>43</v>
      </c>
      <c r="C7" s="7" t="s">
        <v>44</v>
      </c>
      <c r="D7" s="7" t="s">
        <v>45</v>
      </c>
      <c r="E7" s="7" t="s">
        <v>46</v>
      </c>
      <c r="F7" s="6" t="s">
        <v>88</v>
      </c>
      <c r="G7" s="7" t="s">
        <v>29</v>
      </c>
      <c r="H7" s="7" t="s">
        <v>17</v>
      </c>
      <c r="I7" s="7" t="s">
        <v>47</v>
      </c>
      <c r="J7" s="24" t="s">
        <v>312</v>
      </c>
    </row>
    <row r="8" spans="1:10" ht="32" x14ac:dyDescent="0.2">
      <c r="A8" s="6">
        <v>7</v>
      </c>
      <c r="B8" s="6" t="s">
        <v>51</v>
      </c>
      <c r="C8" s="7" t="s">
        <v>48</v>
      </c>
      <c r="D8" s="7" t="s">
        <v>12</v>
      </c>
      <c r="E8" s="7" t="s">
        <v>49</v>
      </c>
      <c r="F8" s="6" t="s">
        <v>89</v>
      </c>
      <c r="G8" s="7" t="s">
        <v>29</v>
      </c>
      <c r="H8" s="7" t="s">
        <v>17</v>
      </c>
      <c r="I8" s="6" t="s">
        <v>34</v>
      </c>
      <c r="J8" s="23" t="s">
        <v>310</v>
      </c>
    </row>
    <row r="9" spans="1:10" ht="16" x14ac:dyDescent="0.2">
      <c r="A9" s="6">
        <v>8</v>
      </c>
      <c r="B9" s="6" t="s">
        <v>52</v>
      </c>
      <c r="C9" s="7" t="s">
        <v>308</v>
      </c>
      <c r="D9" s="7" t="s">
        <v>7</v>
      </c>
      <c r="E9" s="7" t="s">
        <v>50</v>
      </c>
      <c r="F9" s="6" t="s">
        <v>90</v>
      </c>
      <c r="G9" s="7" t="s">
        <v>29</v>
      </c>
      <c r="H9" s="6" t="s">
        <v>15</v>
      </c>
      <c r="I9" s="6" t="s">
        <v>34</v>
      </c>
      <c r="J9" s="23" t="s">
        <v>307</v>
      </c>
    </row>
    <row r="10" spans="1:10" ht="16" x14ac:dyDescent="0.2">
      <c r="A10" s="6">
        <v>9</v>
      </c>
      <c r="B10" s="6" t="s">
        <v>53</v>
      </c>
      <c r="C10" s="7" t="s">
        <v>54</v>
      </c>
      <c r="D10" s="7" t="s">
        <v>7</v>
      </c>
      <c r="E10" s="7" t="s">
        <v>55</v>
      </c>
      <c r="F10" s="6" t="s">
        <v>91</v>
      </c>
      <c r="G10" s="7" t="s">
        <v>29</v>
      </c>
      <c r="H10" s="6" t="s">
        <v>15</v>
      </c>
      <c r="I10" s="7" t="s">
        <v>47</v>
      </c>
      <c r="J10" s="24" t="s">
        <v>312</v>
      </c>
    </row>
    <row r="11" spans="1:10" ht="16" x14ac:dyDescent="0.2">
      <c r="A11" s="6">
        <v>10</v>
      </c>
      <c r="B11" s="6" t="s">
        <v>53</v>
      </c>
      <c r="C11" s="7" t="s">
        <v>56</v>
      </c>
      <c r="D11" s="7" t="s">
        <v>7</v>
      </c>
      <c r="E11" s="7" t="s">
        <v>57</v>
      </c>
      <c r="F11" s="6" t="s">
        <v>92</v>
      </c>
      <c r="G11" s="7" t="s">
        <v>29</v>
      </c>
      <c r="H11" s="6" t="s">
        <v>15</v>
      </c>
      <c r="I11" s="7" t="s">
        <v>47</v>
      </c>
      <c r="J11" s="24" t="s">
        <v>312</v>
      </c>
    </row>
    <row r="12" spans="1:10" ht="32" x14ac:dyDescent="0.2">
      <c r="A12" s="6">
        <v>11</v>
      </c>
      <c r="B12" s="6" t="s">
        <v>58</v>
      </c>
      <c r="C12" s="7" t="s">
        <v>59</v>
      </c>
      <c r="D12" s="7" t="s">
        <v>45</v>
      </c>
      <c r="E12" s="7" t="s">
        <v>60</v>
      </c>
      <c r="F12" s="6" t="s">
        <v>93</v>
      </c>
      <c r="G12" s="7" t="s">
        <v>29</v>
      </c>
      <c r="H12" s="7" t="s">
        <v>17</v>
      </c>
      <c r="I12" s="7" t="s">
        <v>47</v>
      </c>
      <c r="J12" s="23" t="s">
        <v>311</v>
      </c>
    </row>
    <row r="13" spans="1:10" ht="32" x14ac:dyDescent="0.2">
      <c r="A13" s="6">
        <v>12</v>
      </c>
      <c r="B13" s="6" t="s">
        <v>61</v>
      </c>
      <c r="C13" s="7" t="s">
        <v>62</v>
      </c>
      <c r="D13" s="7" t="s">
        <v>12</v>
      </c>
      <c r="E13" s="7" t="s">
        <v>63</v>
      </c>
      <c r="F13" s="6" t="s">
        <v>94</v>
      </c>
      <c r="G13" s="7" t="s">
        <v>29</v>
      </c>
      <c r="H13" s="6" t="s">
        <v>14</v>
      </c>
      <c r="I13" s="6" t="s">
        <v>40</v>
      </c>
      <c r="J13" s="24" t="s">
        <v>312</v>
      </c>
    </row>
    <row r="14" spans="1:10" ht="32" x14ac:dyDescent="0.2">
      <c r="A14" s="23">
        <v>13</v>
      </c>
      <c r="B14" s="23" t="s">
        <v>37</v>
      </c>
      <c r="C14" s="24" t="s">
        <v>64</v>
      </c>
      <c r="D14" s="24" t="s">
        <v>7</v>
      </c>
      <c r="E14" s="24" t="s">
        <v>64</v>
      </c>
      <c r="F14" s="23" t="s">
        <v>95</v>
      </c>
      <c r="G14" s="24" t="s">
        <v>29</v>
      </c>
      <c r="H14" s="23" t="s">
        <v>14</v>
      </c>
      <c r="I14" s="23" t="s">
        <v>40</v>
      </c>
      <c r="J14" s="23" t="s">
        <v>313</v>
      </c>
    </row>
    <row r="15" spans="1:10" ht="16" x14ac:dyDescent="0.2">
      <c r="A15" s="6">
        <v>14</v>
      </c>
      <c r="B15" s="6" t="s">
        <v>65</v>
      </c>
      <c r="C15" s="7" t="s">
        <v>66</v>
      </c>
      <c r="D15" s="7" t="s">
        <v>7</v>
      </c>
      <c r="E15" s="7" t="s">
        <v>67</v>
      </c>
      <c r="F15" s="6" t="s">
        <v>96</v>
      </c>
      <c r="G15" s="7" t="s">
        <v>29</v>
      </c>
      <c r="H15" s="6" t="s">
        <v>14</v>
      </c>
      <c r="I15" s="6" t="s">
        <v>34</v>
      </c>
      <c r="J15" s="24" t="s">
        <v>312</v>
      </c>
    </row>
    <row r="16" spans="1:10" ht="16" x14ac:dyDescent="0.2">
      <c r="A16" s="6">
        <v>15</v>
      </c>
      <c r="B16" s="6" t="s">
        <v>68</v>
      </c>
      <c r="C16" s="7" t="s">
        <v>69</v>
      </c>
      <c r="D16" s="7" t="s">
        <v>7</v>
      </c>
      <c r="E16" s="7" t="s">
        <v>71</v>
      </c>
      <c r="F16" s="6" t="s">
        <v>97</v>
      </c>
      <c r="G16" s="7" t="s">
        <v>29</v>
      </c>
      <c r="H16" s="6" t="s">
        <v>14</v>
      </c>
      <c r="I16" s="6" t="s">
        <v>40</v>
      </c>
      <c r="J16" s="23" t="s">
        <v>311</v>
      </c>
    </row>
    <row r="17" spans="1:10" ht="32" x14ac:dyDescent="0.2">
      <c r="A17" s="6">
        <v>16</v>
      </c>
      <c r="B17" s="6" t="s">
        <v>27</v>
      </c>
      <c r="C17" s="7" t="s">
        <v>70</v>
      </c>
      <c r="D17" s="7" t="s">
        <v>45</v>
      </c>
      <c r="E17" s="7" t="s">
        <v>72</v>
      </c>
      <c r="F17" s="6" t="s">
        <v>98</v>
      </c>
      <c r="G17" s="7" t="s">
        <v>29</v>
      </c>
      <c r="H17" s="7" t="s">
        <v>17</v>
      </c>
      <c r="I17" s="6" t="s">
        <v>34</v>
      </c>
      <c r="J17" s="23" t="s">
        <v>307</v>
      </c>
    </row>
    <row r="18" spans="1:10" ht="32" x14ac:dyDescent="0.2">
      <c r="A18" s="6">
        <v>17</v>
      </c>
      <c r="B18" s="6" t="s">
        <v>73</v>
      </c>
      <c r="C18" s="7" t="s">
        <v>74</v>
      </c>
      <c r="D18" s="7" t="s">
        <v>12</v>
      </c>
      <c r="E18" s="7" t="s">
        <v>75</v>
      </c>
      <c r="F18" s="6" t="s">
        <v>99</v>
      </c>
      <c r="G18" s="7" t="s">
        <v>29</v>
      </c>
      <c r="H18" s="6" t="s">
        <v>14</v>
      </c>
      <c r="I18" s="6" t="s">
        <v>40</v>
      </c>
      <c r="J18" s="23" t="s">
        <v>310</v>
      </c>
    </row>
    <row r="19" spans="1:10" ht="32" x14ac:dyDescent="0.2">
      <c r="A19" s="6">
        <v>18</v>
      </c>
      <c r="B19" s="6" t="s">
        <v>76</v>
      </c>
      <c r="C19" s="7" t="s">
        <v>77</v>
      </c>
      <c r="D19" s="7" t="s">
        <v>45</v>
      </c>
      <c r="E19" s="7" t="s">
        <v>78</v>
      </c>
      <c r="F19" s="6" t="s">
        <v>100</v>
      </c>
      <c r="G19" s="7" t="s">
        <v>29</v>
      </c>
      <c r="H19" s="7" t="s">
        <v>17</v>
      </c>
      <c r="I19" s="6" t="s">
        <v>34</v>
      </c>
      <c r="J19" s="23" t="s">
        <v>311</v>
      </c>
    </row>
    <row r="20" spans="1:10" ht="32" x14ac:dyDescent="0.2">
      <c r="A20" s="6">
        <v>19</v>
      </c>
      <c r="B20" s="6" t="s">
        <v>73</v>
      </c>
      <c r="C20" s="7" t="s">
        <v>79</v>
      </c>
      <c r="D20" s="7" t="s">
        <v>12</v>
      </c>
      <c r="E20" s="7" t="s">
        <v>79</v>
      </c>
      <c r="F20" s="6" t="s">
        <v>101</v>
      </c>
      <c r="G20" s="7" t="s">
        <v>29</v>
      </c>
      <c r="H20" s="6" t="s">
        <v>14</v>
      </c>
      <c r="I20" s="6" t="s">
        <v>34</v>
      </c>
      <c r="J20" s="23" t="s">
        <v>310</v>
      </c>
    </row>
    <row r="21" spans="1:10" ht="16" x14ac:dyDescent="0.2">
      <c r="A21" s="6">
        <v>21</v>
      </c>
      <c r="B21" s="6" t="s">
        <v>80</v>
      </c>
      <c r="C21" s="7" t="s">
        <v>81</v>
      </c>
      <c r="D21" s="7" t="s">
        <v>7</v>
      </c>
      <c r="E21" s="7" t="s">
        <v>81</v>
      </c>
      <c r="F21" s="6" t="s">
        <v>102</v>
      </c>
      <c r="G21" s="7" t="s">
        <v>29</v>
      </c>
      <c r="H21" s="6" t="s">
        <v>15</v>
      </c>
      <c r="I21" s="6" t="s">
        <v>34</v>
      </c>
      <c r="J21" s="23" t="s">
        <v>311</v>
      </c>
    </row>
    <row r="22" spans="1:10" ht="16" x14ac:dyDescent="0.2">
      <c r="A22" s="6">
        <v>22</v>
      </c>
      <c r="B22" s="6" t="s">
        <v>65</v>
      </c>
      <c r="C22" s="7" t="s">
        <v>293</v>
      </c>
      <c r="D22" s="7" t="s">
        <v>7</v>
      </c>
      <c r="E22" s="7" t="s">
        <v>294</v>
      </c>
      <c r="F22" s="6" t="s">
        <v>296</v>
      </c>
      <c r="G22" s="7" t="s">
        <v>29</v>
      </c>
      <c r="H22" s="6" t="s">
        <v>14</v>
      </c>
      <c r="I22" s="6" t="s">
        <v>34</v>
      </c>
      <c r="J22" s="24" t="s">
        <v>312</v>
      </c>
    </row>
    <row r="23" spans="1:10" ht="16" outlineLevel="1" x14ac:dyDescent="0.2">
      <c r="A23" s="6">
        <v>23</v>
      </c>
      <c r="B23" s="6" t="s">
        <v>51</v>
      </c>
      <c r="C23" s="7" t="s">
        <v>292</v>
      </c>
      <c r="D23" s="7" t="s">
        <v>12</v>
      </c>
      <c r="E23" s="7" t="s">
        <v>295</v>
      </c>
      <c r="F23" s="6" t="s">
        <v>297</v>
      </c>
      <c r="G23" s="7" t="s">
        <v>29</v>
      </c>
      <c r="H23" s="6" t="s">
        <v>14</v>
      </c>
      <c r="I23" s="6" t="s">
        <v>34</v>
      </c>
      <c r="J23" s="23" t="s">
        <v>309</v>
      </c>
    </row>
    <row r="24" spans="1:10" ht="16" x14ac:dyDescent="0.2">
      <c r="A24" s="6">
        <v>24</v>
      </c>
      <c r="B24" s="6" t="s">
        <v>300</v>
      </c>
      <c r="C24" s="7" t="s">
        <v>299</v>
      </c>
      <c r="D24" s="7" t="s">
        <v>298</v>
      </c>
      <c r="E24" s="7" t="s">
        <v>301</v>
      </c>
      <c r="F24" s="6" t="s">
        <v>302</v>
      </c>
      <c r="G24" s="7" t="s">
        <v>29</v>
      </c>
      <c r="H24" s="6" t="s">
        <v>15</v>
      </c>
      <c r="I24" s="6" t="s">
        <v>40</v>
      </c>
      <c r="J24" s="23" t="s">
        <v>311</v>
      </c>
    </row>
    <row r="25" spans="1:10" ht="16" x14ac:dyDescent="0.2">
      <c r="A25" s="6">
        <v>25</v>
      </c>
      <c r="B25" s="6" t="s">
        <v>51</v>
      </c>
      <c r="C25" s="7" t="s">
        <v>322</v>
      </c>
      <c r="D25" s="7" t="s">
        <v>12</v>
      </c>
      <c r="E25" s="7"/>
      <c r="F25" s="6"/>
      <c r="G25" s="6"/>
      <c r="H25" s="6"/>
      <c r="I25" s="6"/>
      <c r="J25" s="6"/>
    </row>
    <row r="26" spans="1:10" ht="48" x14ac:dyDescent="0.2">
      <c r="C26" s="8" t="s">
        <v>323</v>
      </c>
    </row>
    <row r="27" spans="1:10" ht="32" x14ac:dyDescent="0.2">
      <c r="C27" s="8" t="s">
        <v>324</v>
      </c>
    </row>
  </sheetData>
  <autoFilter ref="A1:J24" xr:uid="{79A0FEA2-3C34-4573-8192-69991F877AB5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5F6B-65A8-448A-8D1C-9599CF60EA86}">
  <dimension ref="A1:B127"/>
  <sheetViews>
    <sheetView topLeftCell="A29" workbookViewId="0">
      <selection activeCell="B15" sqref="B15"/>
    </sheetView>
  </sheetViews>
  <sheetFormatPr baseColWidth="10" defaultColWidth="8.83203125" defaultRowHeight="15" x14ac:dyDescent="0.2"/>
  <cols>
    <col min="1" max="1" width="31" customWidth="1"/>
    <col min="2" max="2" width="37.5" customWidth="1"/>
  </cols>
  <sheetData>
    <row r="1" spans="1:2" ht="16" x14ac:dyDescent="0.2">
      <c r="A1" s="29" t="s">
        <v>290</v>
      </c>
      <c r="B1" s="29"/>
    </row>
    <row r="2" spans="1:2" ht="16" x14ac:dyDescent="0.2">
      <c r="A2" s="9" t="s">
        <v>103</v>
      </c>
      <c r="B2" s="9" t="s">
        <v>291</v>
      </c>
    </row>
    <row r="3" spans="1:2" x14ac:dyDescent="0.2">
      <c r="A3" s="10" t="s">
        <v>104</v>
      </c>
      <c r="B3" s="11" t="s">
        <v>105</v>
      </c>
    </row>
    <row r="4" spans="1:2" x14ac:dyDescent="0.2">
      <c r="A4" s="30" t="s">
        <v>106</v>
      </c>
      <c r="B4" s="11" t="s">
        <v>107</v>
      </c>
    </row>
    <row r="5" spans="1:2" x14ac:dyDescent="0.2">
      <c r="A5" s="31"/>
      <c r="B5" s="11" t="s">
        <v>108</v>
      </c>
    </row>
    <row r="6" spans="1:2" x14ac:dyDescent="0.2">
      <c r="A6" s="10" t="s">
        <v>109</v>
      </c>
      <c r="B6" s="11" t="s">
        <v>110</v>
      </c>
    </row>
    <row r="7" spans="1:2" x14ac:dyDescent="0.2">
      <c r="A7" s="10" t="s">
        <v>111</v>
      </c>
      <c r="B7" s="11" t="s">
        <v>112</v>
      </c>
    </row>
    <row r="8" spans="1:2" x14ac:dyDescent="0.2">
      <c r="A8" s="10" t="s">
        <v>113</v>
      </c>
      <c r="B8" s="11" t="s">
        <v>114</v>
      </c>
    </row>
    <row r="9" spans="1:2" x14ac:dyDescent="0.2">
      <c r="A9" s="30" t="s">
        <v>115</v>
      </c>
      <c r="B9" s="11" t="s">
        <v>116</v>
      </c>
    </row>
    <row r="10" spans="1:2" x14ac:dyDescent="0.2">
      <c r="A10" s="32"/>
      <c r="B10" s="11" t="s">
        <v>115</v>
      </c>
    </row>
    <row r="11" spans="1:2" x14ac:dyDescent="0.2">
      <c r="A11" s="10" t="s">
        <v>117</v>
      </c>
      <c r="B11" s="11" t="s">
        <v>118</v>
      </c>
    </row>
    <row r="12" spans="1:2" x14ac:dyDescent="0.2">
      <c r="A12" s="30" t="s">
        <v>119</v>
      </c>
      <c r="B12" s="11" t="s">
        <v>120</v>
      </c>
    </row>
    <row r="13" spans="1:2" x14ac:dyDescent="0.2">
      <c r="A13" s="31"/>
      <c r="B13" s="11" t="s">
        <v>121</v>
      </c>
    </row>
    <row r="14" spans="1:2" x14ac:dyDescent="0.2">
      <c r="A14" s="12" t="s">
        <v>122</v>
      </c>
      <c r="B14" s="13" t="s">
        <v>123</v>
      </c>
    </row>
    <row r="15" spans="1:2" x14ac:dyDescent="0.2">
      <c r="A15" s="12" t="s">
        <v>124</v>
      </c>
      <c r="B15" s="13" t="s">
        <v>125</v>
      </c>
    </row>
    <row r="16" spans="1:2" x14ac:dyDescent="0.2">
      <c r="A16" s="12" t="s">
        <v>126</v>
      </c>
      <c r="B16" s="13" t="s">
        <v>127</v>
      </c>
    </row>
    <row r="17" spans="1:2" x14ac:dyDescent="0.2">
      <c r="A17" s="12" t="s">
        <v>128</v>
      </c>
      <c r="B17" s="13" t="s">
        <v>129</v>
      </c>
    </row>
    <row r="18" spans="1:2" x14ac:dyDescent="0.2">
      <c r="A18" s="12" t="s">
        <v>130</v>
      </c>
      <c r="B18" s="13" t="s">
        <v>131</v>
      </c>
    </row>
    <row r="19" spans="1:2" x14ac:dyDescent="0.2">
      <c r="A19" s="12" t="s">
        <v>76</v>
      </c>
      <c r="B19" s="13" t="s">
        <v>132</v>
      </c>
    </row>
    <row r="20" spans="1:2" x14ac:dyDescent="0.2">
      <c r="A20" s="26" t="s">
        <v>133</v>
      </c>
      <c r="B20" s="13" t="s">
        <v>134</v>
      </c>
    </row>
    <row r="21" spans="1:2" x14ac:dyDescent="0.2">
      <c r="A21" s="27"/>
      <c r="B21" s="13" t="s">
        <v>135</v>
      </c>
    </row>
    <row r="22" spans="1:2" x14ac:dyDescent="0.2">
      <c r="A22" s="12" t="s">
        <v>136</v>
      </c>
      <c r="B22" s="13" t="s">
        <v>137</v>
      </c>
    </row>
    <row r="23" spans="1:2" x14ac:dyDescent="0.2">
      <c r="A23" s="12" t="s">
        <v>138</v>
      </c>
      <c r="B23" s="13" t="s">
        <v>139</v>
      </c>
    </row>
    <row r="24" spans="1:2" x14ac:dyDescent="0.2">
      <c r="A24" s="12" t="s">
        <v>140</v>
      </c>
      <c r="B24" s="13" t="s">
        <v>141</v>
      </c>
    </row>
    <row r="25" spans="1:2" x14ac:dyDescent="0.2">
      <c r="A25" s="26" t="s">
        <v>142</v>
      </c>
      <c r="B25" s="13" t="s">
        <v>143</v>
      </c>
    </row>
    <row r="26" spans="1:2" x14ac:dyDescent="0.2">
      <c r="A26" s="28"/>
      <c r="B26" s="13" t="s">
        <v>144</v>
      </c>
    </row>
    <row r="27" spans="1:2" x14ac:dyDescent="0.2">
      <c r="A27" s="27"/>
      <c r="B27" s="13" t="s">
        <v>145</v>
      </c>
    </row>
    <row r="28" spans="1:2" x14ac:dyDescent="0.2">
      <c r="A28" s="26" t="s">
        <v>146</v>
      </c>
      <c r="B28" s="13" t="s">
        <v>147</v>
      </c>
    </row>
    <row r="29" spans="1:2" x14ac:dyDescent="0.2">
      <c r="A29" s="28"/>
      <c r="B29" s="13" t="s">
        <v>148</v>
      </c>
    </row>
    <row r="30" spans="1:2" x14ac:dyDescent="0.2">
      <c r="A30" s="27"/>
      <c r="B30" s="13" t="s">
        <v>149</v>
      </c>
    </row>
    <row r="31" spans="1:2" x14ac:dyDescent="0.2">
      <c r="A31" s="26" t="s">
        <v>150</v>
      </c>
      <c r="B31" s="13" t="s">
        <v>151</v>
      </c>
    </row>
    <row r="32" spans="1:2" x14ac:dyDescent="0.2">
      <c r="A32" s="28"/>
      <c r="B32" s="13" t="s">
        <v>152</v>
      </c>
    </row>
    <row r="33" spans="1:2" x14ac:dyDescent="0.2">
      <c r="A33" s="28"/>
      <c r="B33" s="13" t="s">
        <v>153</v>
      </c>
    </row>
    <row r="34" spans="1:2" x14ac:dyDescent="0.2">
      <c r="A34" s="28"/>
      <c r="B34" s="13" t="s">
        <v>154</v>
      </c>
    </row>
    <row r="35" spans="1:2" x14ac:dyDescent="0.2">
      <c r="A35" s="27"/>
      <c r="B35" s="13" t="s">
        <v>155</v>
      </c>
    </row>
    <row r="36" spans="1:2" x14ac:dyDescent="0.2">
      <c r="A36" s="26" t="s">
        <v>156</v>
      </c>
      <c r="B36" s="13" t="s">
        <v>157</v>
      </c>
    </row>
    <row r="37" spans="1:2" x14ac:dyDescent="0.2">
      <c r="A37" s="27"/>
      <c r="B37" s="13" t="s">
        <v>158</v>
      </c>
    </row>
    <row r="38" spans="1:2" x14ac:dyDescent="0.2">
      <c r="A38" s="26" t="s">
        <v>159</v>
      </c>
      <c r="B38" s="13" t="s">
        <v>160</v>
      </c>
    </row>
    <row r="39" spans="1:2" x14ac:dyDescent="0.2">
      <c r="A39" s="27"/>
      <c r="B39" s="13" t="s">
        <v>161</v>
      </c>
    </row>
    <row r="40" spans="1:2" x14ac:dyDescent="0.2">
      <c r="A40" s="12" t="s">
        <v>162</v>
      </c>
      <c r="B40" s="13" t="s">
        <v>163</v>
      </c>
    </row>
    <row r="41" spans="1:2" x14ac:dyDescent="0.2">
      <c r="A41" s="26" t="s">
        <v>164</v>
      </c>
      <c r="B41" s="13" t="s">
        <v>165</v>
      </c>
    </row>
    <row r="42" spans="1:2" x14ac:dyDescent="0.2">
      <c r="A42" s="27"/>
      <c r="B42" s="13" t="s">
        <v>166</v>
      </c>
    </row>
    <row r="43" spans="1:2" x14ac:dyDescent="0.2">
      <c r="A43" s="12" t="s">
        <v>167</v>
      </c>
      <c r="B43" s="13" t="s">
        <v>168</v>
      </c>
    </row>
    <row r="44" spans="1:2" x14ac:dyDescent="0.2">
      <c r="A44" s="26" t="s">
        <v>169</v>
      </c>
      <c r="B44" s="13" t="s">
        <v>170</v>
      </c>
    </row>
    <row r="45" spans="1:2" x14ac:dyDescent="0.2">
      <c r="A45" s="28"/>
      <c r="B45" s="13" t="s">
        <v>171</v>
      </c>
    </row>
    <row r="46" spans="1:2" x14ac:dyDescent="0.2">
      <c r="A46" s="28"/>
      <c r="B46" s="13" t="s">
        <v>172</v>
      </c>
    </row>
    <row r="47" spans="1:2" x14ac:dyDescent="0.2">
      <c r="A47" s="27"/>
      <c r="B47" s="13" t="s">
        <v>173</v>
      </c>
    </row>
    <row r="48" spans="1:2" x14ac:dyDescent="0.2">
      <c r="A48" s="26" t="s">
        <v>174</v>
      </c>
      <c r="B48" s="13" t="s">
        <v>175</v>
      </c>
    </row>
    <row r="49" spans="1:2" x14ac:dyDescent="0.2">
      <c r="A49" s="27"/>
      <c r="B49" s="13" t="s">
        <v>176</v>
      </c>
    </row>
    <row r="50" spans="1:2" x14ac:dyDescent="0.2">
      <c r="A50" s="14" t="s">
        <v>177</v>
      </c>
      <c r="B50" s="13" t="s">
        <v>33</v>
      </c>
    </row>
    <row r="51" spans="1:2" x14ac:dyDescent="0.2">
      <c r="A51" s="12" t="s">
        <v>178</v>
      </c>
      <c r="B51" s="13" t="s">
        <v>179</v>
      </c>
    </row>
    <row r="52" spans="1:2" x14ac:dyDescent="0.2">
      <c r="A52" s="26" t="s">
        <v>180</v>
      </c>
      <c r="B52" s="13" t="s">
        <v>181</v>
      </c>
    </row>
    <row r="53" spans="1:2" x14ac:dyDescent="0.2">
      <c r="A53" s="28"/>
      <c r="B53" s="13" t="s">
        <v>182</v>
      </c>
    </row>
    <row r="54" spans="1:2" x14ac:dyDescent="0.2">
      <c r="A54" s="27"/>
      <c r="B54" s="13" t="s">
        <v>183</v>
      </c>
    </row>
    <row r="55" spans="1:2" x14ac:dyDescent="0.2">
      <c r="A55" s="26" t="s">
        <v>184</v>
      </c>
      <c r="B55" s="13" t="s">
        <v>185</v>
      </c>
    </row>
    <row r="56" spans="1:2" x14ac:dyDescent="0.2">
      <c r="A56" s="28"/>
      <c r="B56" s="13" t="s">
        <v>186</v>
      </c>
    </row>
    <row r="57" spans="1:2" x14ac:dyDescent="0.2">
      <c r="A57" s="27"/>
      <c r="B57" s="13" t="s">
        <v>187</v>
      </c>
    </row>
    <row r="58" spans="1:2" x14ac:dyDescent="0.2">
      <c r="A58" s="26" t="s">
        <v>188</v>
      </c>
      <c r="B58" s="13" t="s">
        <v>189</v>
      </c>
    </row>
    <row r="59" spans="1:2" x14ac:dyDescent="0.2">
      <c r="A59" s="28"/>
      <c r="B59" s="13" t="s">
        <v>190</v>
      </c>
    </row>
    <row r="60" spans="1:2" x14ac:dyDescent="0.2">
      <c r="A60" s="28"/>
      <c r="B60" s="13" t="s">
        <v>186</v>
      </c>
    </row>
    <row r="61" spans="1:2" x14ac:dyDescent="0.2">
      <c r="A61" s="28"/>
      <c r="B61" s="13" t="s">
        <v>191</v>
      </c>
    </row>
    <row r="62" spans="1:2" x14ac:dyDescent="0.2">
      <c r="A62" s="27"/>
      <c r="B62" s="13" t="s">
        <v>192</v>
      </c>
    </row>
    <row r="63" spans="1:2" x14ac:dyDescent="0.2">
      <c r="A63" s="26" t="s">
        <v>193</v>
      </c>
      <c r="B63" s="13" t="s">
        <v>194</v>
      </c>
    </row>
    <row r="64" spans="1:2" x14ac:dyDescent="0.2">
      <c r="A64" s="28"/>
      <c r="B64" s="13" t="s">
        <v>195</v>
      </c>
    </row>
    <row r="65" spans="1:2" x14ac:dyDescent="0.2">
      <c r="A65" s="28"/>
      <c r="B65" s="13" t="s">
        <v>196</v>
      </c>
    </row>
    <row r="66" spans="1:2" x14ac:dyDescent="0.2">
      <c r="A66" s="28"/>
      <c r="B66" s="13" t="s">
        <v>197</v>
      </c>
    </row>
    <row r="67" spans="1:2" x14ac:dyDescent="0.2">
      <c r="A67" s="28"/>
      <c r="B67" s="13" t="s">
        <v>198</v>
      </c>
    </row>
    <row r="68" spans="1:2" x14ac:dyDescent="0.2">
      <c r="A68" s="27"/>
      <c r="B68" s="13" t="s">
        <v>199</v>
      </c>
    </row>
    <row r="69" spans="1:2" x14ac:dyDescent="0.2">
      <c r="A69" s="26" t="s">
        <v>200</v>
      </c>
      <c r="B69" s="13" t="s">
        <v>201</v>
      </c>
    </row>
    <row r="70" spans="1:2" x14ac:dyDescent="0.2">
      <c r="A70" s="28"/>
      <c r="B70" s="13" t="s">
        <v>202</v>
      </c>
    </row>
    <row r="71" spans="1:2" x14ac:dyDescent="0.2">
      <c r="A71" s="28"/>
      <c r="B71" s="13" t="s">
        <v>203</v>
      </c>
    </row>
    <row r="72" spans="1:2" x14ac:dyDescent="0.2">
      <c r="A72" s="27"/>
      <c r="B72" s="13" t="s">
        <v>204</v>
      </c>
    </row>
    <row r="73" spans="1:2" x14ac:dyDescent="0.2">
      <c r="A73" s="26" t="s">
        <v>205</v>
      </c>
      <c r="B73" s="13" t="s">
        <v>201</v>
      </c>
    </row>
    <row r="74" spans="1:2" x14ac:dyDescent="0.2">
      <c r="A74" s="28"/>
      <c r="B74" s="13" t="s">
        <v>202</v>
      </c>
    </row>
    <row r="75" spans="1:2" x14ac:dyDescent="0.2">
      <c r="A75" s="28"/>
      <c r="B75" s="13" t="s">
        <v>203</v>
      </c>
    </row>
    <row r="76" spans="1:2" x14ac:dyDescent="0.2">
      <c r="A76" s="27"/>
      <c r="B76" s="13" t="s">
        <v>204</v>
      </c>
    </row>
    <row r="77" spans="1:2" x14ac:dyDescent="0.2">
      <c r="A77" s="26" t="s">
        <v>206</v>
      </c>
      <c r="B77" s="13" t="s">
        <v>207</v>
      </c>
    </row>
    <row r="78" spans="1:2" x14ac:dyDescent="0.2">
      <c r="A78" s="28"/>
      <c r="B78" s="13" t="s">
        <v>208</v>
      </c>
    </row>
    <row r="79" spans="1:2" x14ac:dyDescent="0.2">
      <c r="A79" s="28"/>
      <c r="B79" s="13" t="s">
        <v>209</v>
      </c>
    </row>
    <row r="80" spans="1:2" x14ac:dyDescent="0.2">
      <c r="A80" s="27"/>
      <c r="B80" s="13" t="s">
        <v>210</v>
      </c>
    </row>
    <row r="81" spans="1:2" x14ac:dyDescent="0.2">
      <c r="A81" s="12" t="s">
        <v>211</v>
      </c>
      <c r="B81" s="13" t="s">
        <v>212</v>
      </c>
    </row>
    <row r="82" spans="1:2" x14ac:dyDescent="0.2">
      <c r="A82" s="12" t="s">
        <v>213</v>
      </c>
      <c r="B82" s="13" t="s">
        <v>214</v>
      </c>
    </row>
    <row r="83" spans="1:2" x14ac:dyDescent="0.2">
      <c r="A83" s="12" t="s">
        <v>215</v>
      </c>
      <c r="B83" s="13" t="s">
        <v>216</v>
      </c>
    </row>
    <row r="84" spans="1:2" x14ac:dyDescent="0.2">
      <c r="A84" s="12" t="s">
        <v>217</v>
      </c>
      <c r="B84" s="13" t="s">
        <v>216</v>
      </c>
    </row>
    <row r="85" spans="1:2" x14ac:dyDescent="0.2">
      <c r="A85" s="26" t="s">
        <v>165</v>
      </c>
      <c r="B85" s="13" t="s">
        <v>218</v>
      </c>
    </row>
    <row r="86" spans="1:2" x14ac:dyDescent="0.2">
      <c r="A86" s="28"/>
      <c r="B86" s="13" t="s">
        <v>219</v>
      </c>
    </row>
    <row r="87" spans="1:2" x14ac:dyDescent="0.2">
      <c r="A87" s="28"/>
      <c r="B87" s="13" t="s">
        <v>220</v>
      </c>
    </row>
    <row r="88" spans="1:2" x14ac:dyDescent="0.2">
      <c r="A88" s="28"/>
      <c r="B88" s="13" t="s">
        <v>221</v>
      </c>
    </row>
    <row r="89" spans="1:2" x14ac:dyDescent="0.2">
      <c r="A89" s="27"/>
      <c r="B89" s="13" t="s">
        <v>222</v>
      </c>
    </row>
    <row r="90" spans="1:2" x14ac:dyDescent="0.2">
      <c r="A90" s="12" t="s">
        <v>223</v>
      </c>
      <c r="B90" s="13" t="s">
        <v>224</v>
      </c>
    </row>
    <row r="91" spans="1:2" x14ac:dyDescent="0.2">
      <c r="A91" s="26" t="s">
        <v>65</v>
      </c>
      <c r="B91" s="13" t="s">
        <v>225</v>
      </c>
    </row>
    <row r="92" spans="1:2" x14ac:dyDescent="0.2">
      <c r="A92" s="27"/>
      <c r="B92" s="15" t="s">
        <v>226</v>
      </c>
    </row>
    <row r="93" spans="1:2" x14ac:dyDescent="0.2">
      <c r="A93" s="12" t="s">
        <v>227</v>
      </c>
      <c r="B93" s="13" t="s">
        <v>228</v>
      </c>
    </row>
    <row r="94" spans="1:2" x14ac:dyDescent="0.2">
      <c r="A94" s="12" t="s">
        <v>229</v>
      </c>
      <c r="B94" s="13" t="s">
        <v>230</v>
      </c>
    </row>
    <row r="95" spans="1:2" x14ac:dyDescent="0.2">
      <c r="A95" s="26" t="s">
        <v>231</v>
      </c>
      <c r="B95" s="13" t="s">
        <v>232</v>
      </c>
    </row>
    <row r="96" spans="1:2" x14ac:dyDescent="0.2">
      <c r="A96" s="28"/>
      <c r="B96" s="13" t="s">
        <v>233</v>
      </c>
    </row>
    <row r="97" spans="1:2" x14ac:dyDescent="0.2">
      <c r="A97" s="28"/>
      <c r="B97" s="13" t="s">
        <v>234</v>
      </c>
    </row>
    <row r="98" spans="1:2" x14ac:dyDescent="0.2">
      <c r="A98" s="28"/>
      <c r="B98" s="13" t="s">
        <v>235</v>
      </c>
    </row>
    <row r="99" spans="1:2" x14ac:dyDescent="0.2">
      <c r="A99" s="27"/>
      <c r="B99" s="13" t="s">
        <v>236</v>
      </c>
    </row>
    <row r="100" spans="1:2" x14ac:dyDescent="0.2">
      <c r="A100" s="12" t="s">
        <v>237</v>
      </c>
      <c r="B100" s="13" t="s">
        <v>238</v>
      </c>
    </row>
    <row r="101" spans="1:2" x14ac:dyDescent="0.2">
      <c r="A101" s="12" t="s">
        <v>239</v>
      </c>
      <c r="B101" s="13" t="s">
        <v>240</v>
      </c>
    </row>
    <row r="102" spans="1:2" x14ac:dyDescent="0.2">
      <c r="A102" s="12" t="s">
        <v>241</v>
      </c>
      <c r="B102" s="13" t="s">
        <v>242</v>
      </c>
    </row>
    <row r="103" spans="1:2" x14ac:dyDescent="0.2">
      <c r="A103" s="26" t="s">
        <v>243</v>
      </c>
      <c r="B103" s="13" t="s">
        <v>244</v>
      </c>
    </row>
    <row r="104" spans="1:2" x14ac:dyDescent="0.2">
      <c r="A104" s="27"/>
      <c r="B104" s="13" t="s">
        <v>245</v>
      </c>
    </row>
    <row r="105" spans="1:2" x14ac:dyDescent="0.2">
      <c r="A105" s="12" t="s">
        <v>246</v>
      </c>
      <c r="B105" s="13" t="s">
        <v>247</v>
      </c>
    </row>
    <row r="106" spans="1:2" x14ac:dyDescent="0.2">
      <c r="A106" s="12" t="s">
        <v>248</v>
      </c>
      <c r="B106" s="13" t="s">
        <v>249</v>
      </c>
    </row>
    <row r="107" spans="1:2" x14ac:dyDescent="0.2">
      <c r="A107" s="12" t="s">
        <v>250</v>
      </c>
      <c r="B107" s="13" t="s">
        <v>251</v>
      </c>
    </row>
    <row r="108" spans="1:2" x14ac:dyDescent="0.2">
      <c r="A108" s="12" t="s">
        <v>252</v>
      </c>
      <c r="B108" s="13" t="s">
        <v>253</v>
      </c>
    </row>
    <row r="109" spans="1:2" x14ac:dyDescent="0.2">
      <c r="A109" s="12" t="s">
        <v>254</v>
      </c>
      <c r="B109" s="13" t="s">
        <v>255</v>
      </c>
    </row>
    <row r="110" spans="1:2" x14ac:dyDescent="0.2">
      <c r="A110" s="12" t="s">
        <v>256</v>
      </c>
      <c r="B110" s="13" t="s">
        <v>257</v>
      </c>
    </row>
    <row r="111" spans="1:2" x14ac:dyDescent="0.2">
      <c r="A111" s="12" t="s">
        <v>258</v>
      </c>
      <c r="B111" s="13" t="s">
        <v>259</v>
      </c>
    </row>
    <row r="112" spans="1:2" x14ac:dyDescent="0.2">
      <c r="A112" s="12" t="s">
        <v>260</v>
      </c>
      <c r="B112" s="13" t="s">
        <v>261</v>
      </c>
    </row>
    <row r="113" spans="1:2" x14ac:dyDescent="0.2">
      <c r="A113" s="26" t="s">
        <v>262</v>
      </c>
      <c r="B113" s="13" t="s">
        <v>263</v>
      </c>
    </row>
    <row r="114" spans="1:2" x14ac:dyDescent="0.2">
      <c r="A114" s="27"/>
      <c r="B114" s="13" t="s">
        <v>264</v>
      </c>
    </row>
    <row r="115" spans="1:2" x14ac:dyDescent="0.2">
      <c r="A115" s="12" t="s">
        <v>265</v>
      </c>
      <c r="B115" s="13" t="s">
        <v>266</v>
      </c>
    </row>
    <row r="116" spans="1:2" x14ac:dyDescent="0.2">
      <c r="A116" s="12" t="s">
        <v>267</v>
      </c>
      <c r="B116" s="13" t="s">
        <v>268</v>
      </c>
    </row>
    <row r="117" spans="1:2" x14ac:dyDescent="0.2">
      <c r="A117" s="12" t="s">
        <v>269</v>
      </c>
      <c r="B117" s="13" t="s">
        <v>270</v>
      </c>
    </row>
    <row r="118" spans="1:2" x14ac:dyDescent="0.2">
      <c r="A118" s="10" t="s">
        <v>271</v>
      </c>
      <c r="B118" s="13" t="s">
        <v>272</v>
      </c>
    </row>
    <row r="119" spans="1:2" x14ac:dyDescent="0.2">
      <c r="A119" s="12" t="s">
        <v>273</v>
      </c>
      <c r="B119" s="13" t="s">
        <v>274</v>
      </c>
    </row>
    <row r="120" spans="1:2" x14ac:dyDescent="0.2">
      <c r="A120" s="12" t="s">
        <v>275</v>
      </c>
      <c r="B120" s="13" t="s">
        <v>276</v>
      </c>
    </row>
    <row r="121" spans="1:2" x14ac:dyDescent="0.2">
      <c r="A121" s="12" t="s">
        <v>277</v>
      </c>
      <c r="B121" s="13" t="s">
        <v>278</v>
      </c>
    </row>
    <row r="122" spans="1:2" x14ac:dyDescent="0.2">
      <c r="A122" s="12" t="s">
        <v>279</v>
      </c>
      <c r="B122" s="13" t="s">
        <v>280</v>
      </c>
    </row>
    <row r="123" spans="1:2" x14ac:dyDescent="0.2">
      <c r="A123" s="12" t="s">
        <v>281</v>
      </c>
      <c r="B123" s="13" t="s">
        <v>282</v>
      </c>
    </row>
    <row r="124" spans="1:2" x14ac:dyDescent="0.2">
      <c r="A124" s="12" t="s">
        <v>283</v>
      </c>
      <c r="B124" s="13" t="s">
        <v>284</v>
      </c>
    </row>
    <row r="125" spans="1:2" x14ac:dyDescent="0.2">
      <c r="A125" s="12" t="s">
        <v>285</v>
      </c>
      <c r="B125" s="13" t="s">
        <v>286</v>
      </c>
    </row>
    <row r="126" spans="1:2" x14ac:dyDescent="0.2">
      <c r="A126" s="26" t="s">
        <v>287</v>
      </c>
      <c r="B126" s="13" t="s">
        <v>288</v>
      </c>
    </row>
    <row r="127" spans="1:2" x14ac:dyDescent="0.2">
      <c r="A127" s="27"/>
      <c r="B127" s="13" t="s">
        <v>289</v>
      </c>
    </row>
  </sheetData>
  <mergeCells count="26">
    <mergeCell ref="A25:A27"/>
    <mergeCell ref="A1:B1"/>
    <mergeCell ref="A4:A5"/>
    <mergeCell ref="A9:A10"/>
    <mergeCell ref="A12:A13"/>
    <mergeCell ref="A20:A21"/>
    <mergeCell ref="A69:A72"/>
    <mergeCell ref="A28:A30"/>
    <mergeCell ref="A31:A35"/>
    <mergeCell ref="A36:A37"/>
    <mergeCell ref="A38:A39"/>
    <mergeCell ref="A41:A42"/>
    <mergeCell ref="A44:A47"/>
    <mergeCell ref="A48:A49"/>
    <mergeCell ref="A52:A54"/>
    <mergeCell ref="A55:A57"/>
    <mergeCell ref="A58:A62"/>
    <mergeCell ref="A63:A68"/>
    <mergeCell ref="A113:A114"/>
    <mergeCell ref="A126:A127"/>
    <mergeCell ref="A73:A76"/>
    <mergeCell ref="A77:A80"/>
    <mergeCell ref="A85:A89"/>
    <mergeCell ref="A91:A92"/>
    <mergeCell ref="A95:A99"/>
    <mergeCell ref="A103:A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JazzCash Epic's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Ahad Ashfaq Sheikh/DFS/ISB</dc:creator>
  <cp:lastModifiedBy>Microsoft Office User</cp:lastModifiedBy>
  <dcterms:created xsi:type="dcterms:W3CDTF">2022-06-06T06:23:33Z</dcterms:created>
  <dcterms:modified xsi:type="dcterms:W3CDTF">2022-08-25T11:44:50Z</dcterms:modified>
</cp:coreProperties>
</file>